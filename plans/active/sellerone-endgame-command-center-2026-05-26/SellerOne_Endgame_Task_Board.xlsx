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102a0067064e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9cbe83f78634e4d"/>
    <x:sheet xmlns:r="http://schemas.openxmlformats.org/officeDocument/2006/relationships" name="Task Board" sheetId="2" r:id="R8fa82e7b9aa749cc"/>
    <x:sheet xmlns:r="http://schemas.openxmlformats.org/officeDocument/2006/relationships" name="Result Checks" sheetId="3" r:id="R79bb4babd8ac4572"/>
    <x:sheet xmlns:r="http://schemas.openxmlformats.org/officeDocument/2006/relationships" name="Goal Files" sheetId="4" r:id="R3bfde0874dae48d3"/>
    <x:sheet xmlns:r="http://schemas.openxmlformats.org/officeDocument/2006/relationships" name="How To Use" sheetId="5" r:id="R75d316d68fde4c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1F2937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6B7280"/>
      </x:font>
      <x:fill>
        <x:patternFill>
          <x:bgColor rgb="FFF3F4F6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c353bdcbd0425c" /><Relationship Type="http://schemas.openxmlformats.org/officeDocument/2006/relationships/theme" Target="/xl/theme/theme1.xml" Id="Rcffe2045683743e9" /><Relationship Type="http://schemas.openxmlformats.org/officeDocument/2006/relationships/sharedStrings" Target="/xl/sharedStrings.xml" Id="R0ca3f0820b624759" /><Relationship Type="http://schemas.openxmlformats.org/officeDocument/2006/relationships/worksheet" Target="/xl/worksheets/sheet1.xml" Id="R79cbe83f78634e4d" /><Relationship Type="http://schemas.openxmlformats.org/officeDocument/2006/relationships/worksheet" Target="/xl/worksheets/sheet2.xml" Id="R8fa82e7b9aa749cc" /><Relationship Type="http://schemas.openxmlformats.org/officeDocument/2006/relationships/worksheet" Target="/xl/worksheets/sheet3.xml" Id="R79bb4babd8ac4572" /><Relationship Type="http://schemas.openxmlformats.org/officeDocument/2006/relationships/worksheet" Target="/xl/worksheets/sheet4.xml" Id="R3bfde0874dae48d3" /><Relationship Type="http://schemas.openxmlformats.org/officeDocument/2006/relationships/worksheet" Target="/xl/worksheets/sheet5.xml" Id="R75d316d68fde4c5a" /></Relationships>
</file>

<file path=xl/tables/table1.xml><?xml version="1.0" encoding="utf-8"?>
<x:table xmlns:x="http://schemas.openxmlformats.org/spreadsheetml/2006/main" id="1" name="TaskBoardTable" displayName="TaskBoardTable" ref="A1:N30" headerRowCount="1">
  <x:tableColumns count="14">
    <x:tableColumn id="1" name="ID"/>
    <x:tableColumn id="2" name="Goal MD reference"/>
    <x:tableColumn id="3" name="Done?"/>
    <x:tableColumn id="4" name="Status"/>
    <x:tableColumn id="5" name="Cycle"/>
    <x:tableColumn id="6" name="Phase"/>
    <x:tableColumn id="7" name="Simple task"/>
    <x:tableColumn id="8" name="Why it matters"/>
    <x:tableColumn id="9" name="Owner"/>
    <x:tableColumn id="10" name="Priority"/>
    <x:tableColumn id="11" name="Delayed result check?"/>
    <x:tableColumn id="12" name="Result check ID"/>
    <x:tableColumn id="13" name="Result status"/>
    <x:tableColumn id="14" name="Proof to see"/>
  </x:tableColumns>
  <x:tableStyleInfo name="TableStyleMedium2" showRowStripes="1"/>
</x:table>
</file>

<file path=xl/tables/table2.xml><?xml version="1.0" encoding="utf-8"?>
<x:table xmlns:x="http://schemas.openxmlformats.org/spreadsheetml/2006/main" id="2" name="ResultChecksTable" displayName="ResultChecksTable" ref="A1:K7" headerRowCount="1">
  <x:tableColumns count="11">
    <x:tableColumn id="1" name="Result check ID"/>
    <x:tableColumn id="2" name="Linked goal"/>
    <x:tableColumn id="3" name="Why it needs time"/>
    <x:tableColumn id="4" name="Trigger or due time"/>
    <x:tableColumn id="5" name="Artifact to inspect"/>
    <x:tableColumn id="6" name="Success condition"/>
    <x:tableColumn id="7" name="If it fails"/>
    <x:tableColumn id="8" name="Owner"/>
    <x:tableColumn id="9" name="Status"/>
    <x:tableColumn id="10" name="Last checked"/>
    <x:tableColumn id="11" name="Result notes"/>
  </x:tableColumns>
  <x:tableStyleInfo name="TableStyleMedium4" showRowStripes="1"/>
</x:table>
</file>

<file path=xl/tables/table3.xml><?xml version="1.0" encoding="utf-8"?>
<x:table xmlns:x="http://schemas.openxmlformats.org/spreadsheetml/2006/main" id="3" name="GoalFilesTable" displayName="GoalFilesTable" ref="A1:C12" headerRowCount="1">
  <x:tableColumns count="3">
    <x:tableColumn id="1" name="ID"/>
    <x:tableColumn id="2" name="Simple task"/>
    <x:tableColumn id="3" name="Copy this MD reference into the goal bot"/>
  </x:tableColumns>
  <x:tableStyleInfo name="TableStyleMedium7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052a1d5d6042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33a95df0874f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abd9d6f04e43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41.25" hidden="0" customWidth="1"/>
    <x:col min="3" max="3" width="20" hidden="0" customWidth="1"/>
    <x:col min="4" max="4" width="65" hidden="0" customWidth="1"/>
    <x:col min="5" max="5" width="3.75" hidden="0" customWidth="1"/>
    <x:col min="6" max="6" width="3.75" hidden="0" customWidth="1"/>
    <x:col min="7" max="7" width="3.75" hidden="0" customWidth="1"/>
    <x:col min="8" max="8" width="3.75" hidden="0" customWidth="1"/>
    <x:col min="9" max="9" width="3.75" hidden="0" customWidth="1"/>
    <x:col min="10" max="10" width="3.75" hidden="0" customWidth="1"/>
    <x:col min="11" max="11" width="3.75" hidden="0" customWidth="1"/>
    <x:col min="12" max="12" width="3.75" hidden="0" customWidth="1"/>
    <x:col min="13" max="13" width="3.75" hidden="0" customWidth="1"/>
    <x:col min="14" max="14" width="3.75" hidden="0" customWidth="1"/>
  </x:cols>
  <x:sheetData>
    <x:row r="1">
      <x:c r="A1" s="3" t="str">
        <x:v>SellerOne Endgame Task 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6" t="str">
        <x:v>Use Task Board for coding tasks. Use Result Checks for proof that must wait until tomorrow, next cycle, or another later trigger.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>
      <x:c r="A4" s="9" t="str">
        <x:v>Metric</x:v>
      </x:c>
      <x:c r="B4" s="9" t="str">
        <x:v>Value</x:v>
      </x:c>
      <x:c r="D4" s="9" t="str">
        <x:v>Status</x:v>
      </x:c>
      <x:c r="E4" s="9" t="str">
        <x:v>Count</x:v>
      </x:c>
    </x:row>
    <x:row r="5">
      <x:c r="A5" s="11" t="str">
        <x:v>Total tasks</x:v>
      </x:c>
      <x:c r="B5" s="12" t="n">
        <x:f>COUNTA('Task Board'!A2:A31)</x:f>
        <x:v>30</x:v>
      </x:c>
      <x:c r="D5" t="str">
        <x:v>Not started</x:v>
      </x:c>
      <x:c r="E5" t="n">
        <x:f>COUNTIF('Task Board'!D2:D30,"Not started")</x:f>
        <x:v>19</x:v>
      </x:c>
    </x:row>
    <x:row r="6">
      <x:c r="A6" s="11" t="str">
        <x:v>Done</x:v>
      </x:c>
      <x:c r="B6" s="12" t="n">
        <x:f>COUNTIF('Task Board'!C2:C31,"Yes")</x:f>
        <x:v>0</x:v>
      </x:c>
      <x:c r="D6" t="str">
        <x:v>Blocked</x:v>
      </x:c>
      <x:c r="E6" t="n">
        <x:f>COUNTIF('Task Board'!D2:D30,"Blocked")</x:f>
        <x:v>4</x:v>
      </x:c>
    </x:row>
    <x:row r="7">
      <x:c r="A7" s="11" t="str">
        <x:v>Blocked</x:v>
      </x:c>
      <x:c r="B7" s="12" t="n">
        <x:f>COUNTIF('Task Board'!D2:D31,"Blocked")</x:f>
        <x:v>4</x:v>
      </x:c>
      <x:c r="D7" t="str">
        <x:v>Needs user decision</x:v>
      </x:c>
      <x:c r="E7" t="n">
        <x:f>COUNTIF('Task Board'!D2:D30,"Needs user decision")</x:f>
        <x:v>3</x:v>
      </x:c>
    </x:row>
    <x:row r="8">
      <x:c r="A8" s="11" t="str">
        <x:v>Needs user decision</x:v>
      </x:c>
      <x:c r="B8" s="12" t="n">
        <x:f>COUNTIF('Task Board'!D2:D31,"Needs user decision")</x:f>
        <x:v>3</x:v>
      </x:c>
      <x:c r="D8" t="str">
        <x:v>Monitor only</x:v>
      </x:c>
      <x:c r="E8" t="n">
        <x:f>COUNTIF('Task Board'!D2:D30,"Monitor only")</x:f>
        <x:v>3</x:v>
      </x:c>
    </x:row>
    <x:row r="9">
      <x:c r="A9" s="11" t="str">
        <x:v>Now priority</x:v>
      </x:c>
      <x:c r="B9" s="12" t="n">
        <x:f>COUNTIF('Task Board'!J2:J31,"Now")</x:f>
        <x:v>11</x:v>
      </x:c>
      <x:c r="D9" t="str">
        <x:v>Done</x:v>
      </x:c>
      <x:c r="E9" t="n">
        <x:f>COUNTIF('Task Board'!D2:D30,"Done")</x:f>
        <x:v>0</x:v>
      </x:c>
    </x:row>
    <x:row r="10">
      <x:c r="A10" s="11" t="str">
        <x:v>Open result checks</x:v>
      </x:c>
      <x:c r="B10" s="12" t="n">
        <x:f>COUNTIFS('Result Checks'!I2:I8,"&lt;&gt;Done",'Result Checks'!I2:I8,"&lt;&gt;")</x:f>
        <x:v>7</x:v>
      </x:c>
      <x:c r="D10" t="str">
        <x:v>Waiting result</x:v>
      </x:c>
      <x:c r="E10" t="n">
        <x:f>COUNTIF('Result Checks'!I2:I8,"Waiting*")</x:f>
        <x:v>0</x:v>
      </x:c>
    </x:row>
    <x:row r="13">
      <x:c r="A13" s="9" t="str">
        <x:v>ID</x:v>
      </x:c>
      <x:c r="B13" s="9" t="str">
        <x:v>Task</x:v>
      </x:c>
      <x:c r="C13" s="9" t="str">
        <x:v>Status</x:v>
      </x:c>
      <x:c r="D13" s="9" t="str">
        <x:v>Goal MD reference</x:v>
      </x:c>
    </x:row>
    <x:row r="14">
      <x:c r="A14" s="14" t="str">
        <x:v>A-001</x:v>
      </x:c>
      <x:c r="B14" s="14" t="str">
        <x:v>Classify stock receipt duplicate warning</x:v>
      </x:c>
      <x:c r="C14" s="14" t="str">
        <x:v>Not started</x:v>
      </x:c>
      <x:c r="D14" s="14" t="str">
        <x:v>C:\Users\Luke\Desktop\SellerOne 2.0\plans\active\sellerone-endgame-command-center-2026-05-26\goal_files\GOAL_A-001_classify_stock_receipt_warning.md</x:v>
      </x:c>
    </x:row>
    <x:row r="15">
      <x:c r="A15" s="14" t="str">
        <x:v>F-001</x:v>
      </x:c>
      <x:c r="B15" s="14" t="str">
        <x:v>Investigate F storage drift blocker</x:v>
      </x:c>
      <x:c r="C15" s="14" t="str">
        <x:v>Blocked</x:v>
      </x:c>
      <x:c r="D15" s="14" t="str">
        <x:v>C:\Users\Luke\Desktop\SellerOne 2.0\plans\active\sellerone-endgame-command-center-2026-05-26\goal_files\GOAL_F-001_investigate_storage_drift.md</x:v>
      </x:c>
    </x:row>
    <x:row r="16">
      <x:c r="A16" s="14" t="str">
        <x:v>F-002</x:v>
      </x:c>
      <x:c r="B16" s="14" t="str">
        <x:v>Decide source authority for drifted scanner file</x:v>
      </x:c>
      <x:c r="C16" s="14" t="str">
        <x:v>Not started</x:v>
      </x:c>
      <x:c r="D16" s="14" t="str">
        <x:v>C:\Users\Luke\Desktop\SellerOne 2.0\plans\active\sellerone-endgame-command-center-2026-05-26\goal_files\GOAL_F-002_decide_scanner_source_authority.md</x:v>
      </x:c>
    </x:row>
    <x:row r="17">
      <x:c r="A17" s="14" t="str">
        <x:v>G-001</x:v>
      </x:c>
      <x:c r="B17" s="14" t="str">
        <x:v>Classify overdue due checks</x:v>
      </x:c>
      <x:c r="C17" s="14" t="str">
        <x:v>Not started</x:v>
      </x:c>
      <x:c r="D17" s="14" t="str">
        <x:v>C:\Users\Luke\Desktop\SellerOne 2.0\plans\active\sellerone-endgame-command-center-2026-05-26\goal_files\GOAL_G-001_classify_due_checks.md</x:v>
      </x:c>
    </x:row>
    <x:row r="18">
      <x:c r="A18" s="14" t="str">
        <x:v>G-002</x:v>
      </x:c>
      <x:c r="B18" s="14" t="str">
        <x:v>Investigate storage housekeeping FAIL</x:v>
      </x:c>
      <x:c r="C18" s="14" t="str">
        <x:v>Blocked</x:v>
      </x:c>
      <x:c r="D18" s="14" t="str">
        <x:v>C:\Users\Luke\Desktop\SellerOne 2.0\plans\active\sellerone-endgame-command-center-2026-05-26\goal_files\GOAL_G-002_investigate_storage_housekeeping_fail.md</x:v>
      </x:c>
    </x:row>
    <x:row r="19">
      <x:c r="A19" s="14" t="str">
        <x:v>H-001</x:v>
      </x:c>
      <x:c r="B19" s="14" t="str">
        <x:v>Classify H failures</x:v>
      </x:c>
      <x:c r="C19" s="14" t="str">
        <x:v>Not started</x:v>
      </x:c>
      <x:c r="D19" s="14" t="str">
        <x:v>C:\Users\Luke\Desktop\SellerOne 2.0\plans\active\sellerone-endgame-command-center-2026-05-26\goal_files\GOAL_H-001_classify_h_failures.md</x:v>
      </x:c>
    </x:row>
    <x:row r="20">
      <x:c r="A20" s="14" t="str">
        <x:v>H-002</x:v>
      </x:c>
      <x:c r="B20" s="14" t="str">
        <x:v>Restore fresh H terminal and publish evidence</x:v>
      </x:c>
      <x:c r="C20" s="14" t="str">
        <x:v>Blocked</x:v>
      </x:c>
      <x:c r="D20" s="14" t="str">
        <x:v>C:\Users\Luke\Desktop\SellerOne 2.0\plans\active\sellerone-endgame-command-center-2026-05-26\goal_files\GOAL_H-002_restore_h_fresh_evidence_plan.md</x:v>
      </x:c>
    </x:row>
    <x:row r="21">
      <x:c r="A21" s="14" t="str">
        <x:v>H-003</x:v>
      </x:c>
      <x:c r="B21" s="14" t="str">
        <x:v>Choose safe H pause path for O market scan</x:v>
      </x:c>
      <x:c r="C21" s="14" t="str">
        <x:v>Needs user decision</x:v>
      </x:c>
      <x:c r="D21" s="14" t="str">
        <x:v>C:\Users\Luke\Desktop\SellerOne 2.0\plans\active\sellerone-endgame-command-center-2026-05-26\goal_files\GOAL_H-003_choose_h_pause_path.md</x:v>
      </x:c>
    </x:row>
    <x:row r="22">
      <x:c r="A22" s="14" t="str">
        <x:v>O-001</x:v>
      </x:c>
      <x:c r="B22" s="14" t="str">
        <x:v>Compare April O plan against May O work</x:v>
      </x:c>
      <x:c r="C22" s="14" t="str">
        <x:v>Not started</x:v>
      </x:c>
      <x:c r="D22" s="14" t="str">
        <x:v>C:\Users\Luke\Desktop\SellerOne 2.0\plans\active\sellerone-endgame-command-center-2026-05-26\goal_files\GOAL_O-001_compare_o_plans.md</x:v>
      </x:c>
    </x:row>
    <x:row r="23">
      <x:c r="A23" s="14" t="str">
        <x:v>O-002</x:v>
      </x:c>
      <x:c r="B23" s="14" t="str">
        <x:v>Confirm whether current PO rows are real or sample</x:v>
      </x:c>
      <x:c r="C23" s="14" t="str">
        <x:v>Not started</x:v>
      </x:c>
      <x:c r="D23" s="14" t="str">
        <x:v>C:\Users\Luke\Desktop\SellerOne 2.0\plans\active\sellerone-endgame-command-center-2026-05-26\goal_files\GOAL_O-002_confirm_po_outputs.md</x:v>
      </x:c>
    </x:row>
    <x:row r="24">
      <x:c r="A24" s="14" t="str">
        <x:v>O-003</x:v>
      </x:c>
      <x:c r="B24" s="14" t="str">
        <x:v>Clear 59-row market refresh blocker</x:v>
      </x:c>
      <x:c r="C24" s="14" t="str">
        <x:v>Blocked</x:v>
      </x:c>
      <x:c r="D24" s="14" t="str">
        <x:v>C:\Users\Luke\Desktop\SellerOne 2.0\plans\active\sellerone-endgame-command-center-2026-05-26\goal_files\GOAL_O-003_clear_market_refresh_blocker.md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65" hidden="0" customWidth="1"/>
    <x:col min="3" max="3" width="9.5" hidden="0" customWidth="1"/>
    <x:col min="4" max="4" width="18.75" hidden="0" customWidth="1"/>
    <x:col min="5" max="5" width="15.630000114440918" hidden="0" customWidth="1"/>
    <x:col min="6" max="6" width="11.25" hidden="0" customWidth="1"/>
    <x:col min="7" max="7" width="35" hidden="0" customWidth="1"/>
    <x:col min="8" max="8" width="40" hidden="0" customWidth="1"/>
    <x:col min="9" max="9" width="12.5" hidden="0" customWidth="1"/>
    <x:col min="10" max="10" width="11.25" hidden="0" customWidth="1"/>
    <x:col min="11" max="11" width="16.8799991607666" hidden="0" customWidth="1"/>
    <x:col min="12" max="12" width="14.380000114440918" hidden="0" customWidth="1"/>
    <x:col min="13" max="13" width="21.25" hidden="0" customWidth="1"/>
    <x:col min="14" max="14" width="41.25" hidden="0" customWidth="1"/>
  </x:cols>
  <x:sheetData>
    <x:row r="1">
      <x:c r="A1" s="9" t="str">
        <x:v>ID</x:v>
      </x:c>
      <x:c r="B1" s="9" t="str">
        <x:v>Goal MD reference</x:v>
      </x:c>
      <x:c r="C1" s="9" t="str">
        <x:v>Done?</x:v>
      </x:c>
      <x:c r="D1" s="9" t="str">
        <x:v>Status</x:v>
      </x:c>
      <x:c r="E1" s="9" t="str">
        <x:v>Cycle</x:v>
      </x:c>
      <x:c r="F1" s="9" t="str">
        <x:v>Phase</x:v>
      </x:c>
      <x:c r="G1" s="9" t="str">
        <x:v>Simple task</x:v>
      </x:c>
      <x:c r="H1" s="9" t="str">
        <x:v>Why it matters</x:v>
      </x:c>
      <x:c r="I1" s="9" t="str">
        <x:v>Owner</x:v>
      </x:c>
      <x:c r="J1" s="9" t="str">
        <x:v>Priority</x:v>
      </x:c>
      <x:c r="K1" s="9" t="str">
        <x:v>Delayed result check?</x:v>
      </x:c>
      <x:c r="L1" s="9" t="str">
        <x:v>Result check ID</x:v>
      </x:c>
      <x:c r="M1" s="9" t="str">
        <x:v>Result status</x:v>
      </x:c>
      <x:c r="N1" s="9" t="str">
        <x:v>Proof to see</x:v>
      </x:c>
    </x:row>
    <x:row r="2">
      <x:c r="A2" s="14" t="str">
        <x:v>A-001</x:v>
      </x:c>
      <x:c r="B2" s="14" t="str">
        <x:v>C:\Users\Luke\Desktop\SellerOne 2.0\plans\active\sellerone-endgame-command-center-2026-05-26\goal_files\GOAL_A-001_classify_stock_receipt_warning.md</x:v>
      </x:c>
      <x:c r="C2" s="14" t="str">
        <x:v>No</x:v>
      </x:c>
      <x:c r="D2" s="14" t="str">
        <x:v>Not started</x:v>
      </x:c>
      <x:c r="E2" s="14" t="str">
        <x:v>A Cycle</x:v>
      </x:c>
      <x:c r="F2" s="14" t="str">
        <x:v>Phase 0</x:v>
      </x:c>
      <x:c r="G2" s="14" t="str">
        <x:v>Classify stock receipt duplicate warning</x:v>
      </x:c>
      <x:c r="H2" s="14" t="str">
        <x:v>A has one warning tied to duplicate receipt batches.</x:v>
      </x:c>
      <x:c r="I2" s="14" t="str">
        <x:v>Codex</x:v>
      </x:c>
      <x:c r="J2" s="14" t="str">
        <x:v>Now</x:v>
      </x:c>
      <x:c r="K2" s="14" t="str">
        <x:v>Maybe</x:v>
      </x:c>
      <x:c r="L2" s="14" t="str">
        <x:v>RC-A-001</x:v>
      </x:c>
      <x:c r="M2" s="14" t="str">
        <x:v>Only if source fix is needed</x:v>
      </x:c>
      <x:c r="N2" s="14" t="str">
        <x:v>Harmless, user cleanup, or source-data fix classification</x:v>
      </x:c>
    </x:row>
    <x:row r="3">
      <x:c r="A3" s="14" t="str">
        <x:v>A-002</x:v>
      </x:c>
      <x:c r="B3" s="14" t="str">
        <x:v>not created yet</x:v>
      </x:c>
      <x:c r="C3" s="14" t="str">
        <x:v>No</x:v>
      </x:c>
      <x:c r="D3" s="14" t="str">
        <x:v>Monitor only</x:v>
      </x:c>
      <x:c r="E3" s="14" t="str">
        <x:v>A Cycle</x:v>
      </x:c>
      <x:c r="F3" s="14" t="str">
        <x:v>Phase 1</x:v>
      </x:c>
      <x:c r="G3" s="14" t="str">
        <x:v>Keep A as restock foundation</x:v>
      </x:c>
      <x:c r="H3" s="14" t="str">
        <x:v>O needs trustworthy stock and inventory truth.</x:v>
      </x:c>
      <x:c r="I3" s="14" t="str">
        <x:v>Morning MOT</x:v>
      </x:c>
      <x:c r="J3" s="14" t="str">
        <x:v>Monitor</x:v>
      </x:c>
      <x:c r="K3" s="14" t="str">
        <x:v>Yes</x:v>
      </x:c>
      <x:c r="L3" s="14"/>
      <x:c r="M3" s="14"/>
      <x:c r="N3" s="14" t="str">
        <x:v>A remains 0 FAIL with named WARN status</x:v>
      </x:c>
    </x:row>
    <x:row r="4">
      <x:c r="A4" s="14" t="str">
        <x:v>B-001</x:v>
      </x:c>
      <x:c r="B4" s="14" t="str">
        <x:v>not created yet</x:v>
      </x:c>
      <x:c r="C4" s="14" t="str">
        <x:v>No</x:v>
      </x:c>
      <x:c r="D4" s="14" t="str">
        <x:v>Monitor only</x:v>
      </x:c>
      <x:c r="E4" s="14" t="str">
        <x:v>B Cycle</x:v>
      </x:c>
      <x:c r="F4" s="14" t="str">
        <x:v>Phase 0</x:v>
      </x:c>
      <x:c r="G4" s="14" t="str">
        <x:v>Keep B owner-safe</x:v>
      </x:c>
      <x:c r="H4" s="14" t="str">
        <x:v>B is currently clean; avoid overlapping manual runs.</x:v>
      </x:c>
      <x:c r="I4" s="14" t="str">
        <x:v>Morning MOT</x:v>
      </x:c>
      <x:c r="J4" s="14" t="str">
        <x:v>Monitor</x:v>
      </x:c>
      <x:c r="K4" s="14" t="str">
        <x:v>Yes</x:v>
      </x:c>
      <x:c r="L4" s="14"/>
      <x:c r="M4" s="14"/>
      <x:c r="N4" s="14" t="str">
        <x:v>B remains 0 FAIL / 0 WARN</x:v>
      </x:c>
    </x:row>
    <x:row r="5">
      <x:c r="A5" s="14" t="str">
        <x:v>B-002</x:v>
      </x:c>
      <x:c r="B5" s="14" t="str">
        <x:v>not created yet</x:v>
      </x:c>
      <x:c r="C5" s="14" t="str">
        <x:v>No</x:v>
      </x:c>
      <x:c r="D5" s="14" t="str">
        <x:v>Not started</x:v>
      </x:c>
      <x:c r="E5" s="14" t="str">
        <x:v>B Cycle</x:v>
      </x:c>
      <x:c r="F5" s="14" t="str">
        <x:v>Phase 1</x:v>
      </x:c>
      <x:c r="G5" s="14" t="str">
        <x:v>Prepare B token rules for O receiving</x:v>
      </x:c>
      <x:c r="H5" s="14" t="str">
        <x:v>New buys need pending and received token states at the right time.</x:v>
      </x:c>
      <x:c r="I5" s="14" t="str">
        <x:v>Codex</x:v>
      </x:c>
      <x:c r="J5" s="14" t="str">
        <x:v>Later</x:v>
      </x:c>
      <x:c r="K5" s="14" t="str">
        <x:v>Likely</x:v>
      </x:c>
      <x:c r="L5" s="14"/>
      <x:c r="M5" s="14"/>
      <x:c r="N5" s="14" t="str">
        <x:v>Token lifecycle documented for PO and receiving</x:v>
      </x:c>
    </x:row>
    <x:row r="6">
      <x:c r="A6" s="14" t="str">
        <x:v>E-001</x:v>
      </x:c>
      <x:c r="B6" s="14" t="str">
        <x:v>not created yet</x:v>
      </x:c>
      <x:c r="C6" s="14" t="str">
        <x:v>No</x:v>
      </x:c>
      <x:c r="D6" s="14" t="str">
        <x:v>Monitor only</x:v>
      </x:c>
      <x:c r="E6" s="14" t="str">
        <x:v>E Analytics</x:v>
      </x:c>
      <x:c r="F6" s="14" t="str">
        <x:v>Phase 0</x:v>
      </x:c>
      <x:c r="G6" s="14" t="str">
        <x:v>Keep E scoped proof separate</x:v>
      </x:c>
      <x:c r="H6" s="14" t="str">
        <x:v>E itself is clean, even if another flow complains about freshness.</x:v>
      </x:c>
      <x:c r="I6" s="14" t="str">
        <x:v>Morning MOT</x:v>
      </x:c>
      <x:c r="J6" s="14" t="str">
        <x:v>Monitor</x:v>
      </x:c>
      <x:c r="K6" s="14" t="str">
        <x:v>Yes</x:v>
      </x:c>
      <x:c r="L6" s="14"/>
      <x:c r="M6" s="14"/>
      <x:c r="N6" s="14" t="str">
        <x:v>E scoped checklist remains 0 FAIL / 0 WARN</x:v>
      </x:c>
    </x:row>
    <x:row r="7">
      <x:c r="A7" s="14" t="str">
        <x:v>E-002</x:v>
      </x:c>
      <x:c r="B7" s="14" t="str">
        <x:v>not created yet</x:v>
      </x:c>
      <x:c r="C7" s="14" t="str">
        <x:v>No</x:v>
      </x:c>
      <x:c r="D7" s="14" t="str">
        <x:v>Not started</x:v>
      </x:c>
      <x:c r="E7" s="14" t="str">
        <x:v>E Analytics</x:v>
      </x:c>
      <x:c r="F7" s="14" t="str">
        <x:v>Phase 1</x:v>
      </x:c>
      <x:c r="G7" s="14" t="str">
        <x:v>Confirm O uses net ROI, not gross shortcut</x:v>
      </x:c>
      <x:c r="H7" s="14" t="str">
        <x:v>Restock should not buy products that only look profitable before Amazon fees.</x:v>
      </x:c>
      <x:c r="I7" s="14" t="str">
        <x:v>Codex</x:v>
      </x:c>
      <x:c r="J7" s="14" t="str">
        <x:v>Next</x:v>
      </x:c>
      <x:c r="K7" s="14" t="str">
        <x:v>Likely</x:v>
      </x:c>
      <x:c r="L7" s="14"/>
      <x:c r="M7" s="14"/>
      <x:c r="N7" s="14" t="str">
        <x:v>Action-ready O rows require fresh net-fee truth</x:v>
      </x:c>
    </x:row>
    <x:row r="8">
      <x:c r="A8" s="14" t="str">
        <x:v>F-001</x:v>
      </x:c>
      <x:c r="B8" s="14" t="str">
        <x:v>C:\Users\Luke\Desktop\SellerOne 2.0\plans\active\sellerone-endgame-command-center-2026-05-26\goal_files\GOAL_F-001_investigate_storage_drift.md</x:v>
      </x:c>
      <x:c r="C8" s="14" t="str">
        <x:v>No</x:v>
      </x:c>
      <x:c r="D8" s="14" t="str">
        <x:v>Blocked</x:v>
      </x:c>
      <x:c r="E8" s="14" t="str">
        <x:v>F Scanner</x:v>
      </x:c>
      <x:c r="F8" s="14" t="str">
        <x:v>Phase 0</x:v>
      </x:c>
      <x:c r="G8" s="14" t="str">
        <x:v>Investigate F storage drift blocker</x:v>
      </x:c>
      <x:c r="H8" s="14" t="str">
        <x:v>Scanner cannot resume cleanly while the live manager is blocked.</x:v>
      </x:c>
      <x:c r="I8" s="14" t="str">
        <x:v>Codex</x:v>
      </x:c>
      <x:c r="J8" s="14" t="str">
        <x:v>Now</x:v>
      </x:c>
      <x:c r="K8" s="14" t="str">
        <x:v>Yes</x:v>
      </x:c>
      <x:c r="L8" s="14" t="str">
        <x:v>RC-F-001</x:v>
      </x:c>
      <x:c r="M8" s="14" t="str">
        <x:v>Waiting for fix</x:v>
      </x:c>
      <x:c r="N8" s="14" t="str">
        <x:v>Root cause for feeder_legacy_chart_daily_raw_live drift</x:v>
      </x:c>
    </x:row>
    <x:row r="9">
      <x:c r="A9" s="14" t="str">
        <x:v>F-002</x:v>
      </x:c>
      <x:c r="B9" s="14" t="str">
        <x:v>C:\Users\Luke\Desktop\SellerOne 2.0\plans\active\sellerone-endgame-command-center-2026-05-26\goal_files\GOAL_F-002_decide_scanner_source_authority.md</x:v>
      </x:c>
      <x:c r="C9" s="14" t="str">
        <x:v>No</x:v>
      </x:c>
      <x:c r="D9" s="14" t="str">
        <x:v>Not started</x:v>
      </x:c>
      <x:c r="E9" s="14" t="str">
        <x:v>F Scanner</x:v>
      </x:c>
      <x:c r="F9" s="14" t="str">
        <x:v>Phase 0</x:v>
      </x:c>
      <x:c r="G9" s="14" t="str">
        <x:v>Decide source authority for drifted scanner file</x:v>
      </x:c>
      <x:c r="H9" s="14" t="str">
        <x:v>We must know whether SQL or CSV is the real source before repairing anything.</x:v>
      </x:c>
      <x:c r="I9" s="14" t="str">
        <x:v>Joint</x:v>
      </x:c>
      <x:c r="J9" s="14" t="str">
        <x:v>Now</x:v>
      </x:c>
      <x:c r="K9" s="14" t="str">
        <x:v>No</x:v>
      </x:c>
      <x:c r="L9" s="14"/>
      <x:c r="M9" s="14"/>
      <x:c r="N9" s="14" t="str">
        <x:v>Decision recorded before any reconcile action</x:v>
      </x:c>
    </x:row>
    <x:row r="10">
      <x:c r="A10" s="14" t="str">
        <x:v>F-003</x:v>
      </x:c>
      <x:c r="B10" s="14" t="str">
        <x:v>not created yet</x:v>
      </x:c>
      <x:c r="C10" s="14" t="str">
        <x:v>No</x:v>
      </x:c>
      <x:c r="D10" s="14" t="str">
        <x:v>Not started</x:v>
      </x:c>
      <x:c r="E10" s="14" t="str">
        <x:v>F Scanner</x:v>
      </x:c>
      <x:c r="F10" s="14" t="str">
        <x:v>Phase 1</x:v>
      </x:c>
      <x:c r="G10" s="14" t="str">
        <x:v>Review scanner split-production rollout</x:v>
      </x:c>
      <x:c r="H10" s="14" t="str">
        <x:v>Speed should come from fewer wasted checks, not risky browser pressure.</x:v>
      </x:c>
      <x:c r="I10" s="14" t="str">
        <x:v>Codex</x:v>
      </x:c>
      <x:c r="J10" s="14" t="str">
        <x:v>Next</x:v>
      </x:c>
      <x:c r="K10" s="14" t="str">
        <x:v>Yes</x:v>
      </x:c>
      <x:c r="L10" s="14"/>
      <x:c r="M10" s="14"/>
      <x:c r="N10" s="14" t="str">
        <x:v>Next proof size and safe rollback path chosen</x:v>
      </x:c>
    </x:row>
    <x:row r="11">
      <x:c r="A11" s="14" t="str">
        <x:v>F-004</x:v>
      </x:c>
      <x:c r="B11" s="14" t="str">
        <x:v>not created yet</x:v>
      </x:c>
      <x:c r="C11" s="14" t="str">
        <x:v>No</x:v>
      </x:c>
      <x:c r="D11" s="14" t="str">
        <x:v>Not started</x:v>
      </x:c>
      <x:c r="E11" s="14" t="str">
        <x:v>F Scanner</x:v>
      </x:c>
      <x:c r="F11" s="14" t="str">
        <x:v>Phase 2</x:v>
      </x:c>
      <x:c r="G11" s="14" t="str">
        <x:v>Confirm review handoff gates</x:v>
      </x:c>
      <x:c r="H11" s="14" t="str">
        <x:v>Only review-ready products should reach New Product Review.</x:v>
      </x:c>
      <x:c r="I11" s="14" t="str">
        <x:v>Codex</x:v>
      </x:c>
      <x:c r="J11" s="14" t="str">
        <x:v>Next</x:v>
      </x:c>
      <x:c r="K11" s="14" t="str">
        <x:v>Likely</x:v>
      </x:c>
      <x:c r="L11" s="14"/>
      <x:c r="M11" s="14"/>
      <x:c r="N11" s="14" t="str">
        <x:v>FPM140, FPM150, and FPM155 gates still pass</x:v>
      </x:c>
    </x:row>
    <x:row r="12">
      <x:c r="A12" s="14" t="str">
        <x:v>F-005</x:v>
      </x:c>
      <x:c r="B12" s="14" t="str">
        <x:v>not created yet</x:v>
      </x:c>
      <x:c r="C12" s="14" t="str">
        <x:v>No</x:v>
      </x:c>
      <x:c r="D12" s="14" t="str">
        <x:v>Needs user decision</x:v>
      </x:c>
      <x:c r="E12" s="14" t="str">
        <x:v>F Scanner</x:v>
      </x:c>
      <x:c r="F12" s="14" t="str">
        <x:v>Phase 3</x:v>
      </x:c>
      <x:c r="G12" s="14" t="str">
        <x:v>Complete profile fields for Kensington and JVC</x:v>
      </x:c>
      <x:c r="H12" s="14" t="str">
        <x:v>Amazon-clear products still need product profile truth before Product DB promotion.</x:v>
      </x:c>
      <x:c r="I12" s="14" t="str">
        <x:v>Luke</x:v>
      </x:c>
      <x:c r="J12" s="14" t="str">
        <x:v>Next</x:v>
      </x:c>
      <x:c r="K12" s="14" t="str">
        <x:v>Yes</x:v>
      </x:c>
      <x:c r="L12" s="14"/>
      <x:c r="M12" s="14"/>
      <x:c r="N12" s="14" t="str">
        <x:v>Missing product profile fields entered or decision to park</x:v>
      </x:c>
    </x:row>
    <x:row r="13">
      <x:c r="A13" s="14" t="str">
        <x:v>F-006</x:v>
      </x:c>
      <x:c r="B13" s="14" t="str">
        <x:v>not created yet</x:v>
      </x:c>
      <x:c r="C13" s="14" t="str">
        <x:v>No</x:v>
      </x:c>
      <x:c r="D13" s="14" t="str">
        <x:v>Not started</x:v>
      </x:c>
      <x:c r="E13" s="14" t="str">
        <x:v>F Scanner</x:v>
      </x:c>
      <x:c r="F13" s="14" t="str">
        <x:v>Phase 3</x:v>
      </x:c>
      <x:c r="G13" s="14" t="str">
        <x:v>Fix Product DB destination schema gap</x:v>
      </x:c>
      <x:c r="H13" s="14" t="str">
        <x:v>Product DB cannot safely accept new product fields until destination columns exist.</x:v>
      </x:c>
      <x:c r="I13" s="14" t="str">
        <x:v>Codex</x:v>
      </x:c>
      <x:c r="J13" s="14" t="str">
        <x:v>Next</x:v>
      </x:c>
      <x:c r="K13" s="14" t="str">
        <x:v>Yes</x:v>
      </x:c>
      <x:c r="L13" s="14"/>
      <x:c r="M13" s="14"/>
      <x:c r="N13" s="14" t="str">
        <x:v>O431 dry-run no longer reports missing destination fields</x:v>
      </x:c>
    </x:row>
    <x:row r="14">
      <x:c r="A14" s="14" t="str">
        <x:v>F-007</x:v>
      </x:c>
      <x:c r="B14" s="14" t="str">
        <x:v>not created yet</x:v>
      </x:c>
      <x:c r="C14" s="14" t="str">
        <x:v>No</x:v>
      </x:c>
      <x:c r="D14" s="14" t="str">
        <x:v>Not started</x:v>
      </x:c>
      <x:c r="E14" s="14" t="str">
        <x:v>F Scanner</x:v>
      </x:c>
      <x:c r="F14" s="14" t="str">
        <x:v>Phase 4</x:v>
      </x:c>
      <x:c r="G14" s="14" t="str">
        <x:v>Define token-safe handoff checks</x:v>
      </x:c>
      <x:c r="H14" s="14" t="str">
        <x:v>New products must not break COGS and returns tracking.</x:v>
      </x:c>
      <x:c r="I14" s="14" t="str">
        <x:v>Codex</x:v>
      </x:c>
      <x:c r="J14" s="14" t="str">
        <x:v>Later</x:v>
      </x:c>
      <x:c r="K14" s="14" t="str">
        <x:v>Yes</x:v>
      </x:c>
      <x:c r="L14" s="14"/>
      <x:c r="M14" s="14"/>
      <x:c r="N14" s="14" t="str">
        <x:v>Approved new-product handoff has token prerequisites</x:v>
      </x:c>
    </x:row>
    <x:row r="15">
      <x:c r="A15" s="14" t="str">
        <x:v>F-008</x:v>
      </x:c>
      <x:c r="B15" s="14" t="str">
        <x:v>not created yet</x:v>
      </x:c>
      <x:c r="C15" s="14" t="str">
        <x:v>No</x:v>
      </x:c>
      <x:c r="D15" s="14" t="str">
        <x:v>Not started</x:v>
      </x:c>
      <x:c r="E15" s="14" t="str">
        <x:v>F Scanner</x:v>
      </x:c>
      <x:c r="F15" s="14" t="str">
        <x:v>Phase 5</x:v>
      </x:c>
      <x:c r="G15" s="14" t="str">
        <x:v>Finish dropped and discontinued handling</x:v>
      </x:c>
      <x:c r="H15" s="14" t="str">
        <x:v>Bad products should not be rescanned forever, but recoverable ones should not vanish.</x:v>
      </x:c>
      <x:c r="I15" s="14" t="str">
        <x:v>Codex</x:v>
      </x:c>
      <x:c r="J15" s="14" t="str">
        <x:v>Later</x:v>
      </x:c>
      <x:c r="K15" s="14" t="str">
        <x:v>Likely</x:v>
      </x:c>
      <x:c r="L15" s="14"/>
      <x:c r="M15" s="14"/>
      <x:c r="N15" s="14" t="str">
        <x:v>Dropped and discontinued states have clear lifecycle rules</x:v>
      </x:c>
    </x:row>
    <x:row r="16">
      <x:c r="A16" s="14" t="str">
        <x:v>F-009</x:v>
      </x:c>
      <x:c r="B16" s="14" t="str">
        <x:v>C:\Users\Luke\Desktop\SellerOne 2.0\plans\active\sellerone-endgame-command-center-2026-05-26\goal_files\GOAL_F-009_plan_seller_central_sms_2fa_path.md</x:v>
      </x:c>
      <x:c r="C16" s="14" t="str">
        <x:v>No</x:v>
      </x:c>
      <x:c r="D16" s="14" t="str">
        <x:v>Needs user decision</x:v>
      </x:c>
      <x:c r="E16" s="14" t="str">
        <x:v>F Scanner</x:v>
      </x:c>
      <x:c r="F16" s="14" t="str">
        <x:v>Phase 3</x:v>
      </x:c>
      <x:c r="G16" s="14" t="str">
        <x:v>Plan Seller Central SMS 2FA path for scanner login recovery</x:v>
      </x:c>
      <x:c r="H16" s="14" t="str">
        <x:v>Choose the safest way to handle Amazon SMS login codes before building any OTP automation.</x:v>
      </x:c>
      <x:c r="I16" s="14" t="str">
        <x:v>Joint</x:v>
      </x:c>
      <x:c r="J16" s="14" t="str">
        <x:v>Next</x:v>
      </x:c>
      <x:c r="K16" s="14" t="str">
        <x:v>Yes</x:v>
      </x:c>
      <x:c r="L16" s="14" t="str">
        <x:v>RC-F-009</x:v>
      </x:c>
      <x:c r="M16" s="14" t="str">
        <x:v>Waiting for user decision</x:v>
      </x:c>
      <x:c r="N16" s="14" t="str">
        <x:v>Preferred path chosen or parked; no repo-stored secrets or OTP logs</x:v>
      </x:c>
    </x:row>
    <x:row r="17">
      <x:c r="A17" s="14" t="str">
        <x:v>G-001</x:v>
      </x:c>
      <x:c r="B17" s="14" t="str">
        <x:v>C:\Users\Luke\Desktop\SellerOne 2.0\plans\active\sellerone-endgame-command-center-2026-05-26\goal_files\GOAL_G-001_classify_due_checks.md</x:v>
      </x:c>
      <x:c r="C17" s="14" t="str">
        <x:v>No</x:v>
      </x:c>
      <x:c r="D17" s="14" t="str">
        <x:v>Not started</x:v>
      </x:c>
      <x:c r="E17" s="14" t="str">
        <x:v>Governance</x:v>
      </x:c>
      <x:c r="F17" s="14" t="str">
        <x:v>Phase 0</x:v>
      </x:c>
      <x:c r="G17" s="14" t="str">
        <x:v>Classify overdue due checks</x:v>
      </x:c>
      <x:c r="H17" s="14" t="str">
        <x:v>Old follow-ups should not stay vague or live only in chat.</x:v>
      </x:c>
      <x:c r="I17" s="14" t="str">
        <x:v>Codex</x:v>
      </x:c>
      <x:c r="J17" s="14" t="str">
        <x:v>Now</x:v>
      </x:c>
      <x:c r="K17" s="14" t="str">
        <x:v>No</x:v>
      </x:c>
      <x:c r="L17" s="14"/>
      <x:c r="M17" s="14"/>
      <x:c r="N17" s="14" t="str">
        <x:v>Each due check classified as fix now, MOT only, stale, or user decision</x:v>
      </x:c>
    </x:row>
    <x:row r="18">
      <x:c r="A18" s="14" t="str">
        <x:v>G-002</x:v>
      </x:c>
      <x:c r="B18" s="14" t="str">
        <x:v>C:\Users\Luke\Desktop\SellerOne 2.0\plans\active\sellerone-endgame-command-center-2026-05-26\goal_files\GOAL_G-002_investigate_storage_housekeeping_fail.md</x:v>
      </x:c>
      <x:c r="C18" s="14" t="str">
        <x:v>No</x:v>
      </x:c>
      <x:c r="D18" s="14" t="str">
        <x:v>Blocked</x:v>
      </x:c>
      <x:c r="E18" s="14" t="str">
        <x:v>Governance</x:v>
      </x:c>
      <x:c r="F18" s="14" t="str">
        <x:v>Phase 1</x:v>
      </x:c>
      <x:c r="G18" s="14" t="str">
        <x:v>Investigate storage housekeeping FAIL</x:v>
      </x:c>
      <x:c r="H18" s="14" t="str">
        <x:v>Storage health reports 281 unclassified output families.</x:v>
      </x:c>
      <x:c r="I18" s="14" t="str">
        <x:v>Codex</x:v>
      </x:c>
      <x:c r="J18" s="14" t="str">
        <x:v>Now</x:v>
      </x:c>
      <x:c r="K18" s="14" t="str">
        <x:v>Yes</x:v>
      </x:c>
      <x:c r="L18" s="14" t="str">
        <x:v>RC-G-002</x:v>
      </x:c>
      <x:c r="M18" s="14" t="str">
        <x:v>Waiting for fix</x:v>
      </x:c>
      <x:c r="N18" s="14" t="str">
        <x:v>Unclassified families assigned or cleanup rules planned</x:v>
      </x:c>
    </x:row>
    <x:row r="19">
      <x:c r="A19" s="14" t="str">
        <x:v>G-003</x:v>
      </x:c>
      <x:c r="B19" s="14" t="str">
        <x:v>not created yet</x:v>
      </x:c>
      <x:c r="C19" s="14" t="str">
        <x:v>No</x:v>
      </x:c>
      <x:c r="D19" s="14" t="str">
        <x:v>Not started</x:v>
      </x:c>
      <x:c r="E19" s="14" t="str">
        <x:v>Governance</x:v>
      </x:c>
      <x:c r="F19" s="14" t="str">
        <x:v>Phase 2</x:v>
      </x:c>
      <x:c r="G19" s="14" t="str">
        <x:v>Review controlled restart ownership</x:v>
      </x:c>
      <x:c r="H19" s="14" t="str">
        <x:v>The system should restart safely or skip for one clear reason.</x:v>
      </x:c>
      <x:c r="I19" s="14" t="str">
        <x:v>Codex</x:v>
      </x:c>
      <x:c r="J19" s="14" t="str">
        <x:v>Next</x:v>
      </x:c>
      <x:c r="K19" s="14" t="str">
        <x:v>Yes</x:v>
      </x:c>
      <x:c r="L19" s="14"/>
      <x:c r="M19" s="14"/>
      <x:c r="N19" s="14" t="str">
        <x:v>Controlled restart owner state documented</x:v>
      </x:c>
    </x:row>
    <x:row r="20">
      <x:c r="A20" s="14" t="str">
        <x:v>G-004</x:v>
      </x:c>
      <x:c r="B20" s="14" t="str">
        <x:v>not created yet</x:v>
      </x:c>
      <x:c r="C20" s="14" t="str">
        <x:v>No</x:v>
      </x:c>
      <x:c r="D20" s="14" t="str">
        <x:v>Not started</x:v>
      </x:c>
      <x:c r="E20" s="14" t="str">
        <x:v>Governance</x:v>
      </x:c>
      <x:c r="F20" s="14" t="str">
        <x:v>Phase 3</x:v>
      </x:c>
      <x:c r="G20" s="14" t="str">
        <x:v>Create external integration inventory</x:v>
      </x:c>
      <x:c r="H20" s="14" t="str">
        <x:v>Amazon, Sheets, BBP, Gmail, and scheduler boundaries must be clear.</x:v>
      </x:c>
      <x:c r="I20" s="14" t="str">
        <x:v>Codex</x:v>
      </x:c>
      <x:c r="J20" s="14" t="str">
        <x:v>Later</x:v>
      </x:c>
      <x:c r="K20" s="14" t="str">
        <x:v>Maybe</x:v>
      </x:c>
      <x:c r="L20" s="14"/>
      <x:c r="M20" s="14"/>
      <x:c r="N20" s="14" t="str">
        <x:v>Read-only inventory plus no-write smoke test plan</x:v>
      </x:c>
    </x:row>
    <x:row r="21">
      <x:c r="A21" s="14" t="str">
        <x:v>H-001</x:v>
      </x:c>
      <x:c r="B21" s="14" t="str">
        <x:v>C:\Users\Luke\Desktop\SellerOne 2.0\plans\active\sellerone-endgame-command-center-2026-05-26\goal_files\GOAL_H-001_classify_h_failures.md</x:v>
      </x:c>
      <x:c r="C21" s="14" t="str">
        <x:v>No</x:v>
      </x:c>
      <x:c r="D21" s="14" t="str">
        <x:v>Not started</x:v>
      </x:c>
      <x:c r="E21" s="14" t="str">
        <x:v>H Repricer</x:v>
      </x:c>
      <x:c r="F21" s="14" t="str">
        <x:v>Phase 0</x:v>
      </x:c>
      <x:c r="G21" s="14" t="str">
        <x:v>Classify H failures</x:v>
      </x:c>
      <x:c r="H21" s="14" t="str">
        <x:v>Separate restock blockers from repricer-only or stale evidence items.</x:v>
      </x:c>
      <x:c r="I21" s="14" t="str">
        <x:v>Codex</x:v>
      </x:c>
      <x:c r="J21" s="14" t="str">
        <x:v>Now</x:v>
      </x:c>
      <x:c r="K21" s="14" t="str">
        <x:v>No</x:v>
      </x:c>
      <x:c r="L21" s="14"/>
      <x:c r="M21" s="14"/>
      <x:c r="N21" s="14" t="str">
        <x:v>Each H FAIL has a category and next action</x:v>
      </x:c>
    </x:row>
    <x:row r="22">
      <x:c r="A22" s="14" t="str">
        <x:v>H-002</x:v>
      </x:c>
      <x:c r="B22" s="14" t="str">
        <x:v>C:\Users\Luke\Desktop\SellerOne 2.0\plans\active\sellerone-endgame-command-center-2026-05-26\goal_files\GOAL_H-002_restore_h_fresh_evidence_plan.md</x:v>
      </x:c>
      <x:c r="C22" s="14" t="str">
        <x:v>No</x:v>
      </x:c>
      <x:c r="D22" s="14" t="str">
        <x:v>Blocked</x:v>
      </x:c>
      <x:c r="E22" s="14" t="str">
        <x:v>H Repricer</x:v>
      </x:c>
      <x:c r="F22" s="14" t="str">
        <x:v>Phase 1</x:v>
      </x:c>
      <x:c r="G22" s="14" t="str">
        <x:v>Restore fresh H terminal and publish evidence</x:v>
      </x:c>
      <x:c r="H22" s="14" t="str">
        <x:v>Restock market proof should not rely on stale H-owned files.</x:v>
      </x:c>
      <x:c r="I22" s="14" t="str">
        <x:v>Codex</x:v>
      </x:c>
      <x:c r="J22" s="14" t="str">
        <x:v>Now</x:v>
      </x:c>
      <x:c r="K22" s="14" t="str">
        <x:v>Yes</x:v>
      </x:c>
      <x:c r="L22" s="14" t="str">
        <x:v>RC-H-002</x:v>
      </x:c>
      <x:c r="M22" s="14" t="str">
        <x:v>Waiting for proof window</x:v>
      </x:c>
      <x:c r="N22" s="14" t="str">
        <x:v>Fresh finalized run or exact parked reason</x:v>
      </x:c>
    </x:row>
    <x:row r="23">
      <x:c r="A23" s="14" t="str">
        <x:v>H-003</x:v>
      </x:c>
      <x:c r="B23" s="14" t="str">
        <x:v>C:\Users\Luke\Desktop\SellerOne 2.0\plans\active\sellerone-endgame-command-center-2026-05-26\goal_files\GOAL_H-003_choose_h_pause_path.md</x:v>
      </x:c>
      <x:c r="C23" s="14" t="str">
        <x:v>No</x:v>
      </x:c>
      <x:c r="D23" s="14" t="str">
        <x:v>Needs user decision</x:v>
      </x:c>
      <x:c r="E23" s="14" t="str">
        <x:v>H Repricer</x:v>
      </x:c>
      <x:c r="F23" s="14" t="str">
        <x:v>Phase 2</x:v>
      </x:c>
      <x:c r="G23" s="14" t="str">
        <x:v>Choose safe H pause path for O market scan</x:v>
      </x:c>
      <x:c r="H23" s="14" t="str">
        <x:v>O price proof may need H isolation.</x:v>
      </x:c>
      <x:c r="I23" s="14" t="str">
        <x:v>Joint</x:v>
      </x:c>
      <x:c r="J23" s="14" t="str">
        <x:v>Now</x:v>
      </x:c>
      <x:c r="K23" s="14" t="str">
        <x:v>Yes</x:v>
      </x:c>
      <x:c r="L23" s="14" t="str">
        <x:v>RC-H-003</x:v>
      </x:c>
      <x:c r="M23" s="14" t="str">
        <x:v>Waiting for user decision</x:v>
      </x:c>
      <x:c r="N23" s="14" t="str">
        <x:v>Approved pause path or parked condition</x:v>
      </x:c>
    </x:row>
    <x:row r="24">
      <x:c r="A24" s="14" t="str">
        <x:v>H-004</x:v>
      </x:c>
      <x:c r="B24" s="14" t="str">
        <x:v>not created yet</x:v>
      </x:c>
      <x:c r="C24" s="14" t="str">
        <x:v>No</x:v>
      </x:c>
      <x:c r="D24" s="14" t="str">
        <x:v>Not started</x:v>
      </x:c>
      <x:c r="E24" s="14" t="str">
        <x:v>H Repricer</x:v>
      </x:c>
      <x:c r="F24" s="14" t="str">
        <x:v>Phase 3</x:v>
      </x:c>
      <x:c r="G24" s="14" t="str">
        <x:v>Reduce non-blocking H noise</x:v>
      </x:c>
      <x:c r="H24" s="14" t="str">
        <x:v>Keep health truthful without interrupting every unrelated task.</x:v>
      </x:c>
      <x:c r="I24" s="14" t="str">
        <x:v>Codex</x:v>
      </x:c>
      <x:c r="J24" s="14" t="str">
        <x:v>Later</x:v>
      </x:c>
      <x:c r="K24" s="14" t="str">
        <x:v>Yes</x:v>
      </x:c>
      <x:c r="L24" s="14"/>
      <x:c r="M24" s="14"/>
      <x:c r="N24" s="14" t="str">
        <x:v>Named exception list with review cadence</x:v>
      </x:c>
    </x:row>
    <x:row r="25">
      <x:c r="A25" s="14" t="str">
        <x:v>O-001</x:v>
      </x:c>
      <x:c r="B25" s="14" t="str">
        <x:v>C:\Users\Luke\Desktop\SellerOne 2.0\plans\active\sellerone-endgame-command-center-2026-05-26\goal_files\GOAL_O-001_compare_o_plans.md</x:v>
      </x:c>
      <x:c r="C25" s="14" t="str">
        <x:v>No</x:v>
      </x:c>
      <x:c r="D25" s="14" t="str">
        <x:v>Not started</x:v>
      </x:c>
      <x:c r="E25" s="14" t="str">
        <x:v>O Restocking</x:v>
      </x:c>
      <x:c r="F25" s="14" t="str">
        <x:v>Phase 0</x:v>
      </x:c>
      <x:c r="G25" s="14" t="str">
        <x:v>Compare April O plan against May O work</x:v>
      </x:c>
      <x:c r="H25" s="14" t="str">
        <x:v>Make one clean map of what is done, partly done, still needed, or obsolete.</x:v>
      </x:c>
      <x:c r="I25" s="14" t="str">
        <x:v>Codex</x:v>
      </x:c>
      <x:c r="J25" s="14" t="str">
        <x:v>Now</x:v>
      </x:c>
      <x:c r="K25" s="14" t="str">
        <x:v>No</x:v>
      </x:c>
      <x:c r="L25" s="14"/>
      <x:c r="M25" s="14"/>
      <x:c r="N25" s="14" t="str">
        <x:v>Updated O checklist with keep, merge, drop, or needs proof labels</x:v>
      </x:c>
    </x:row>
    <x:row r="26">
      <x:c r="A26" s="14" t="str">
        <x:v>O-002</x:v>
      </x:c>
      <x:c r="B26" s="14" t="str">
        <x:v>C:\Users\Luke\Desktop\SellerOne 2.0\plans\active\sellerone-endgame-command-center-2026-05-26\goal_files\GOAL_O-002_confirm_po_outputs.md</x:v>
      </x:c>
      <x:c r="C26" s="14" t="str">
        <x:v>No</x:v>
      </x:c>
      <x:c r="D26" s="14" t="str">
        <x:v>Not started</x:v>
      </x:c>
      <x:c r="E26" s="14" t="str">
        <x:v>O Restocking</x:v>
      </x:c>
      <x:c r="F26" s="14" t="str">
        <x:v>Phase 0</x:v>
      </x:c>
      <x:c r="G26" s="14" t="str">
        <x:v>Confirm whether current PO rows are real or sample</x:v>
      </x:c>
      <x:c r="H26" s="14" t="str">
        <x:v>Avoid building the next step on a fake or bridge-only output.</x:v>
      </x:c>
      <x:c r="I26" s="14" t="str">
        <x:v>Codex</x:v>
      </x:c>
      <x:c r="J26" s="14" t="str">
        <x:v>Now</x:v>
      </x:c>
      <x:c r="K26" s="14" t="str">
        <x:v>No</x:v>
      </x:c>
      <x:c r="L26" s="14"/>
      <x:c r="M26" s="14"/>
      <x:c r="N26" s="14" t="str">
        <x:v>Row counts and source explanation for purchase_orders_live and purchase_order_lines_live</x:v>
      </x:c>
    </x:row>
    <x:row r="27">
      <x:c r="A27" s="14" t="str">
        <x:v>O-003</x:v>
      </x:c>
      <x:c r="B27" s="14" t="str">
        <x:v>C:\Users\Luke\Desktop\SellerOne 2.0\plans\active\sellerone-endgame-command-center-2026-05-26\goal_files\GOAL_O-003_clear_market_refresh_blocker.md</x:v>
      </x:c>
      <x:c r="C27" s="14" t="str">
        <x:v>No</x:v>
      </x:c>
      <x:c r="D27" s="14" t="str">
        <x:v>Blocked</x:v>
      </x:c>
      <x:c r="E27" s="14" t="str">
        <x:v>O Restocking</x:v>
      </x:c>
      <x:c r="F27" s="14" t="str">
        <x:v>Phase 1</x:v>
      </x:c>
      <x:c r="G27" s="14" t="str">
        <x:v>Clear 59-row market refresh blocker</x:v>
      </x:c>
      <x:c r="H27" s="14" t="str">
        <x:v>Restock needs current market proof before Max pay can be trusted.</x:v>
      </x:c>
      <x:c r="I27" s="14" t="str">
        <x:v>Joint</x:v>
      </x:c>
      <x:c r="J27" s="14" t="str">
        <x:v>Now</x:v>
      </x:c>
      <x:c r="K27" s="14" t="str">
        <x:v>Yes</x:v>
      </x:c>
      <x:c r="L27" s="14" t="str">
        <x:v>RC-O-003</x:v>
      </x:c>
      <x:c r="M27" s="14" t="str">
        <x:v>Waiting for proof window</x:v>
      </x:c>
      <x:c r="N27" s="14" t="str">
        <x:v>H paused safely or exact parked reason recorded</x:v>
      </x:c>
    </x:row>
    <x:row r="28">
      <x:c r="A28" s="14" t="str">
        <x:v>O-004</x:v>
      </x:c>
      <x:c r="B28" s="14" t="str">
        <x:v>not created yet</x:v>
      </x:c>
      <x:c r="C28" s="14" t="str">
        <x:v>No</x:v>
      </x:c>
      <x:c r="D28" s="14" t="str">
        <x:v>Not started</x:v>
      </x:c>
      <x:c r="E28" s="14" t="str">
        <x:v>O Restocking</x:v>
      </x:c>
      <x:c r="F28" s="14" t="str">
        <x:v>Phase 2</x:v>
      </x:c>
      <x:c r="G28" s="14" t="str">
        <x:v>Lock supplier-worth fields</x:v>
      </x:c>
      <x:c r="H28" s="14" t="str">
        <x:v>The system must tell you if a supplier is worth ordering from today.</x:v>
      </x:c>
      <x:c r="I28" s="14" t="str">
        <x:v>Codex</x:v>
      </x:c>
      <x:c r="J28" s="14" t="str">
        <x:v>Next</x:v>
      </x:c>
      <x:c r="K28" s="14" t="str">
        <x:v>Likely</x:v>
      </x:c>
      <x:c r="L28" s="14"/>
      <x:c r="M28" s="14"/>
      <x:c r="N28" s="14" t="str">
        <x:v>Supplier readiness fields and states confirmed</x:v>
      </x:c>
    </x:row>
    <x:row r="29">
      <x:c r="A29" s="14" t="str">
        <x:v>O-005</x:v>
      </x:c>
      <x:c r="B29" s="14" t="str">
        <x:v>not created yet</x:v>
      </x:c>
      <x:c r="C29" s="14" t="str">
        <x:v>No</x:v>
      </x:c>
      <x:c r="D29" s="14" t="str">
        <x:v>Not started</x:v>
      </x:c>
      <x:c r="E29" s="14" t="str">
        <x:v>O Restocking</x:v>
      </x:c>
      <x:c r="F29" s="14" t="str">
        <x:v>Phase 3</x:v>
      </x:c>
      <x:c r="G29" s="14" t="str">
        <x:v>Finish pack and quantity blocker reporting</x:v>
      </x:c>
      <x:c r="H29" s="14" t="str">
        <x:v>Stop mental maths for cases, bundles, sell packs, and repacks.</x:v>
      </x:c>
      <x:c r="I29" s="14" t="str">
        <x:v>Codex</x:v>
      </x:c>
      <x:c r="J29" s="14" t="str">
        <x:v>Next</x:v>
      </x:c>
      <x:c r="K29" s="14" t="str">
        <x:v>Likely</x:v>
      </x:c>
      <x:c r="L29" s="14"/>
      <x:c r="M29" s="14"/>
      <x:c r="N29" s="14" t="str">
        <x:v>Missing pack truth appears as clear blocker reasons</x:v>
      </x:c>
    </x:row>
    <x:row r="30">
      <x:c r="A30" s="14" t="str">
        <x:v>O-006</x:v>
      </x:c>
      <x:c r="B30" s="14" t="str">
        <x:v>not created yet</x:v>
      </x:c>
      <x:c r="C30" s="14" t="str">
        <x:v>No</x:v>
      </x:c>
      <x:c r="D30" s="14" t="str">
        <x:v>Not started</x:v>
      </x:c>
      <x:c r="E30" s="14" t="str">
        <x:v>O Restocking</x:v>
      </x:c>
      <x:c r="F30" s="14" t="str">
        <x:v>Phase 4</x:v>
      </x:c>
      <x:c r="G30" s="14" t="str">
        <x:v>Verify decision-to-PO draft path</x:v>
      </x:c>
      <x:c r="H30" s="14" t="str">
        <x:v>Approved reorder rows must become PO lines or clear holds.</x:v>
      </x:c>
      <x:c r="I30" s="14" t="str">
        <x:v>Codex</x:v>
      </x:c>
      <x:c r="J30" s="14" t="str">
        <x:v>Next</x:v>
      </x:c>
      <x:c r="K30" s="14" t="str">
        <x:v>Likely</x:v>
      </x:c>
      <x:c r="L30" s="14"/>
      <x:c r="M30" s="14"/>
      <x:c r="N30" s="14" t="str">
        <x:v>O010 and O100 proof with held reason counts</x:v>
      </x:c>
    </x:row>
    <x:row r="31">
      <x:c r="A31" t="str">
        <x:v>O-007</x:v>
      </x:c>
      <x:c r="B31" t="str">
        <x:v>not created yet</x:v>
      </x:c>
      <x:c r="C31" t="str">
        <x:v>No</x:v>
      </x:c>
      <x:c r="D31" t="str">
        <x:v>Not started</x:v>
      </x:c>
      <x:c r="E31" t="str">
        <x:v>O Restocking</x:v>
      </x:c>
      <x:c r="F31" t="str">
        <x:v>Phase 5</x:v>
      </x:c>
      <x:c r="G31" t="str">
        <x:v>Plan receiving and send-to-Amazon finish</x:v>
      </x:c>
      <x:c r="H31" t="str">
        <x:v>Bought stock needs to move through receiving and outbound tracking without spreadsheet copying.</x:v>
      </x:c>
      <x:c r="I31" t="str">
        <x:v>Codex</x:v>
      </x:c>
      <x:c r="J31" t="str">
        <x:v>Later</x:v>
      </x:c>
      <x:c r="K31" t="str">
        <x:v>Yes</x:v>
      </x:c>
      <x:c r="L31"/>
      <x:c r="M31"/>
      <x:c r="N31" t="str">
        <x:v>Trace from recommendation to PO to receipt to send queue</x:v>
      </x:c>
    </x:row>
  </x:sheetData>
  <x:conditionalFormatting sqref="D2:D30">
    <x:cfRule type="containsText" dxfId="0" priority="1" operator="containsText" text="Blocked"/>
    <x:cfRule type="containsText" dxfId="1" priority="2" operator="containsText" text="Needs user decision"/>
    <x:cfRule type="containsText" dxfId="2" priority="3" operator="containsText" text="Done"/>
  </x:conditionalFormatting>
  <x:conditionalFormatting sqref="B2:B30">
    <x:cfRule type="containsText" dxfId="3" priority="4" operator="containsText" text="not created yet"/>
  </x:conditionalFormatting>
  <x:dataValidations count="4">
    <x:dataValidation type="list" sqref="C2:C30">
      <x:formula1>"No,Yes"</x:formula1>
    </x:dataValidation>
    <x:dataValidation type="list" sqref="D2:D30">
      <x:formula1>"Not started,In progress,Blocked,Needs user decision,Monitor only,Done"</x:formula1>
    </x:dataValidation>
    <x:dataValidation type="list" sqref="J2:J30">
      <x:formula1>"Now,Next,Later,Monitor"</x:formula1>
    </x:dataValidation>
    <x:dataValidation type="list" sqref="K2:K30">
      <x:formula1>"No,Maybe,Likely,Yes"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052a1d5d6042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.25" hidden="0" customWidth="1"/>
    <x:col min="3" max="3" width="36.25" hidden="0" customWidth="1"/>
    <x:col min="4" max="4" width="35" hidden="0" customWidth="1"/>
    <x:col min="5" max="5" width="41.25" hidden="0" customWidth="1"/>
    <x:col min="6" max="6" width="41.25" hidden="0" customWidth="1"/>
    <x:col min="7" max="7" width="41.25" hidden="0" customWidth="1"/>
    <x:col min="8" max="8" width="11.25" hidden="0" customWidth="1"/>
    <x:col min="9" max="9" width="21.25" hidden="0" customWidth="1"/>
    <x:col min="10" max="10" width="16.25" hidden="0" customWidth="1"/>
    <x:col min="11" max="11" width="37.5" hidden="0" customWidth="1"/>
  </x:cols>
  <x:sheetData>
    <x:row r="1">
      <x:c r="A1" s="9" t="str">
        <x:v>Result check ID</x:v>
      </x:c>
      <x:c r="B1" s="9" t="str">
        <x:v>Linked goal</x:v>
      </x:c>
      <x:c r="C1" s="9" t="str">
        <x:v>Why it needs time</x:v>
      </x:c>
      <x:c r="D1" s="9" t="str">
        <x:v>Trigger or due time</x:v>
      </x:c>
      <x:c r="E1" s="9" t="str">
        <x:v>Artifact to inspect</x:v>
      </x:c>
      <x:c r="F1" s="9" t="str">
        <x:v>Success condition</x:v>
      </x:c>
      <x:c r="G1" s="9" t="str">
        <x:v>If it fails</x:v>
      </x:c>
      <x:c r="H1" s="9" t="str">
        <x:v>Owner</x:v>
      </x:c>
      <x:c r="I1" s="9" t="str">
        <x:v>Status</x:v>
      </x:c>
      <x:c r="J1" s="9" t="str">
        <x:v>Last checked</x:v>
      </x:c>
      <x:c r="K1" s="9" t="str">
        <x:v>Result notes</x:v>
      </x:c>
    </x:row>
    <x:row r="2">
      <x:c r="A2" s="14" t="str">
        <x:v>RC-A-001</x:v>
      </x:c>
      <x:c r="B2" s="14" t="str">
        <x:v>A-001</x:v>
      </x:c>
      <x:c r="C2" s="14" t="str">
        <x:v>If duplicate receipt source data is fixed, proof may wait until the next A owner run.</x:v>
      </x:c>
      <x:c r="D2" s="14" t="str">
        <x:v>Only if A-001 decides a source fix is required; then next approved A-owned proof</x:v>
      </x:c>
      <x:c r="E2" s="14" t="str">
        <x:v>out/cycle_alerts/checklist_A.csv and out/stock_receipt_duplicate_batches.csv</x:v>
      </x:c>
      <x:c r="F2" s="14" t="str">
        <x:v>Warning clears or is recorded as an accepted non-blocking exception</x:v>
      </x:c>
      <x:c r="G2" s="14" t="str">
        <x:v>Keep warning visible and inspect source receipt rows</x:v>
      </x:c>
      <x:c r="H2" s="14" t="str">
        <x:v>Codex</x:v>
      </x:c>
      <x:c r="I2" s="14" t="str">
        <x:v>Only if needed</x:v>
      </x:c>
      <x:c r="J2" s="14"/>
      <x:c r="K2" s="14"/>
    </x:row>
    <x:row r="3">
      <x:c r="A3" s="14" t="str">
        <x:v>RC-F-001</x:v>
      </x:c>
      <x:c r="B3" s="14" t="str">
        <x:v>F-001</x:v>
      </x:c>
      <x:c r="C3" s="14" t="str">
        <x:v>F scanner may only prove the fix after the live manager gets another safe cycle boundary.</x:v>
      </x:c>
      <x:c r="D3" s="14" t="str">
        <x:v>After storage drift repair is applied and the next FPM130 status refresh completes</x:v>
      </x:c>
      <x:c r="E3" s="14" t="str">
        <x:v>out/systems/F/price_list_manager/live/live_cycle_status.csv</x:v>
      </x:c>
      <x:c r="F3" s="14" t="str">
        <x:v>state is no longer blocked_storage_drift and no newer scanner evidence is lost</x:v>
      </x:c>
      <x:c r="G3" s="14" t="str">
        <x:v>Stop scanner work and inspect storage_drift_report.csv again</x:v>
      </x:c>
      <x:c r="H3" s="14" t="str">
        <x:v>Codex</x:v>
      </x:c>
      <x:c r="I3" s="14" t="str">
        <x:v>Waiting for fix</x:v>
      </x:c>
      <x:c r="J3" s="14"/>
      <x:c r="K3" s="14"/>
    </x:row>
    <x:row r="4">
      <x:c r="A4" s="14" t="str">
        <x:v>RC-F-009</x:v>
      </x:c>
      <x:c r="B4" s="14" t="str">
        <x:v>F-009</x:v>
      </x:c>
      <x:c r="C4" s="14" t="str">
        <x:v>SMS/2FA path cannot be proven until Luke chooses a route and a small pilot is approved.</x:v>
      </x:c>
      <x:c r="D4" s="14" t="str">
        <x:v>After Luke chooses iPhone Shortcuts, GSM modem, or virtual number path and pilot is approved</x:v>
      </x:c>
      <x:c r="E4" s="14" t="str">
        <x:v>pilot artifact named by GOAL_F-009_plan_seller_central_sms_2fa_path.md</x:v>
      </x:c>
      <x:c r="F4" s="14" t="str">
        <x:v>pilot proves OTP path works without repo-stored secrets, OTP logging, or loss of iPhone/manual fallback</x:v>
      </x:c>
      <x:c r="G4" s="14" t="str">
        <x:v>park automated SMS and continue script-owned visible Login Mode</x:v>
      </x:c>
      <x:c r="H4" s="14" t="str">
        <x:v>Joint</x:v>
      </x:c>
      <x:c r="I4" s="14" t="str">
        <x:v>Waiting for user decision</x:v>
      </x:c>
      <x:c r="J4" s="14" t="str"/>
      <x:c r="K4" s="14" t="str"/>
    </x:row>
    <x:row r="5">
      <x:c r="A5" s="14" t="str">
        <x:v>RC-G-002</x:v>
      </x:c>
      <x:c r="B5" s="14" t="str">
        <x:v>G-002</x:v>
      </x:c>
      <x:c r="C5" s="14" t="str">
        <x:v>Storage housekeeping proof appears after rule/cleanup work and next health scan.</x:v>
      </x:c>
      <x:c r="D5" s="14" t="str">
        <x:v>After storage rule or cleanup implementation plus next storage health output</x:v>
      </x:c>
      <x:c r="E5" s="14" t="str">
        <x:v>out/housekeeping/storage_health.latest.csv</x:v>
      </x:c>
      <x:c r="F5" s="14" t="str">
        <x:v>unclassified_scan_items is PASS or remaining families are explicitly allowed</x:v>
      </x:c>
      <x:c r="G5" s="14" t="str">
        <x:v>Do not delete live data; classify remaining families first</x:v>
      </x:c>
      <x:c r="H5" s="14" t="str">
        <x:v>Codex</x:v>
      </x:c>
      <x:c r="I5" s="14" t="str">
        <x:v>Waiting for fix</x:v>
      </x:c>
      <x:c r="J5" s="14"/>
      <x:c r="K5" s="14"/>
    </x:row>
    <x:row r="6">
      <x:c r="A6" s="14" t="str">
        <x:v>RC-H-002</x:v>
      </x:c>
      <x:c r="B6" s="14" t="str">
        <x:v>H-002</x:v>
      </x:c>
      <x:c r="C6" s="14" t="str">
        <x:v>H freshness needs a real H terminal/publish proof, not just a plan.</x:v>
      </x:c>
      <x:c r="D6" s="14" t="str">
        <x:v>After next controlled H proof or next scheduled H owner run</x:v>
      </x:c>
      <x:c r="E6" s="14" t="str">
        <x:v>out/systems/H/live/H_cycle_last_terminal_info.txt and H_cycle_last_publish_info.txt</x:v>
      </x:c>
      <x:c r="F6" s="14" t="str">
        <x:v>Fresh terminal finalized/succeeded and publish status is ok or an exact parked reason exists</x:v>
      </x:c>
      <x:c r="G6" s="14" t="str">
        <x:v>Classify as H blocker before O market proof continues</x:v>
      </x:c>
      <x:c r="H6" s="14" t="str">
        <x:v>Codex</x:v>
      </x:c>
      <x:c r="I6" s="14" t="str">
        <x:v>Waiting for proof window</x:v>
      </x:c>
      <x:c r="J6" s="14"/>
      <x:c r="K6" s="14"/>
    </x:row>
    <x:row r="7">
      <x:c r="A7" s="14" t="str">
        <x:v>RC-H-003</x:v>
      </x:c>
      <x:c r="B7" s="14" t="str">
        <x:v>H-003</x:v>
      </x:c>
      <x:c r="C7" s="14" t="str">
        <x:v>H pause/resume safety must be proven after any pause-based O scan.</x:v>
      </x:c>
      <x:c r="D7" s="14" t="str">
        <x:v>After any approved H isolation pause and resume</x:v>
      </x:c>
      <x:c r="E7" s="14" t="str">
        <x:v>H isolation status plus H live owner markers</x:v>
      </x:c>
      <x:c r="F7" s="14" t="str">
        <x:v>H resumed correctly after O market scan and ownership is restored</x:v>
      </x:c>
      <x:c r="G7" s="14" t="str">
        <x:v>Do not run more O/H market work until ownership is restored</x:v>
      </x:c>
      <x:c r="H7" s="14" t="str">
        <x:v>Joint</x:v>
      </x:c>
      <x:c r="I7" s="14" t="str">
        <x:v>Waiting for user decision</x:v>
      </x:c>
      <x:c r="J7" s="14"/>
      <x:c r="K7" s="14"/>
    </x:row>
    <x:row r="8">
      <x:c r="A8" t="str">
        <x:v>RC-O-003</x:v>
      </x:c>
      <x:c r="B8" t="str">
        <x:v>O-003</x:v>
      </x:c>
      <x:c r="C8" t="str">
        <x:v>Current evidence says H owns the market files; proof needs an approved elevated H isolation window before O can scan safely.</x:v>
      </x:c>
      <x:c r="D8" t="str">
        <x:v>After Luke approves elevated H isolation pause plus O candidate-only market scan, or another safe H proof window</x:v>
      </x:c>
      <x:c r="E8" t="str">
        <x:v>out/systems/O/history/ and out/systems/O/live/restock_profit_checks_live.csv</x:v>
      </x:c>
      <x:c r="F8" t="str">
        <x:v>59 candidates either receive native market proof or remain held with clear missing-data reasons; H ownership is restored after the scan</x:v>
      </x:c>
      <x:c r="G8" t="str">
        <x:v>Keep O buy rows blocked and inspect H/O market ownership first; do not run the market scan while an H lock has a live heartbeat</x:v>
      </x:c>
      <x:c r="H8" t="str">
        <x:v>Joint</x:v>
      </x:c>
      <x:c r="I8" t="str">
        <x:v>Waiting for user decision</x:v>
      </x:c>
      <x:c r="J8" s="15" t="str">
        <x:v>checked 2026-05-26T10:32:33Z</x:v>
      </x:c>
      <x:c r="K8" t="str">
        <x:v>O-003 checked: 59 ready candidates still exist; all 59 matched profit rows use LEGACY_PURCHASE_LIST_ROI_BACKSOLVE; H active lock run_id=20260526T100940Z pid=24476 heartbeat=2026-05-26T10:32:20Z.</x:v>
      </x:c>
    </x:row>
  </x:sheetData>
  <x:conditionalFormatting sqref="I2:I7">
    <x:cfRule type="containsText" dxfId="4" priority="1" operator="containsText" text="Waiting"/>
    <x:cfRule type="containsText" dxfId="5" priority="2" operator="containsText" text="Failed"/>
    <x:cfRule type="containsText" dxfId="6" priority="3" operator="containsText" text="Done"/>
  </x:conditionalFormatting>
  <x:dataValidations count="1">
    <x:dataValidation type="list" sqref="I2:I7">
      <x:formula1>"Not scheduled,Waiting for fix,Waiting for proof window,Waiting for user decision,Only if needed,Due now,Done,Failed"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33a95df0874f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5" hidden="0" customWidth="1"/>
    <x:col min="3" max="3" width="77.5" hidden="0" customWidth="1"/>
  </x:cols>
  <x:sheetData>
    <x:row r="1">
      <x:c r="A1" s="9" t="str">
        <x:v>ID</x:v>
      </x:c>
      <x:c r="B1" s="9" t="str">
        <x:v>Simple task</x:v>
      </x:c>
      <x:c r="C1" s="9" t="str">
        <x:v>Copy this MD reference into the goal bot</x:v>
      </x:c>
    </x:row>
    <x:row r="2">
      <x:c r="A2" s="14" t="str">
        <x:v>A-001</x:v>
      </x:c>
      <x:c r="B2" s="14" t="str">
        <x:v>Classify stock receipt duplicate warning</x:v>
      </x:c>
      <x:c r="C2" s="14" t="str">
        <x:v>C:\Users\Luke\Desktop\SellerOne 2.0\plans\active\sellerone-endgame-command-center-2026-05-26\goal_files\GOAL_A-001_classify_stock_receipt_warning.md</x:v>
      </x:c>
    </x:row>
    <x:row r="3">
      <x:c r="A3" s="14" t="str">
        <x:v>F-001</x:v>
      </x:c>
      <x:c r="B3" s="14" t="str">
        <x:v>Investigate F storage drift blocker</x:v>
      </x:c>
      <x:c r="C3" s="14" t="str">
        <x:v>C:\Users\Luke\Desktop\SellerOne 2.0\plans\active\sellerone-endgame-command-center-2026-05-26\goal_files\GOAL_F-001_investigate_storage_drift.md</x:v>
      </x:c>
    </x:row>
    <x:row r="4">
      <x:c r="A4" s="14" t="str">
        <x:v>F-002</x:v>
      </x:c>
      <x:c r="B4" s="14" t="str">
        <x:v>Decide source authority for drifted scanner file</x:v>
      </x:c>
      <x:c r="C4" s="14" t="str">
        <x:v>C:\Users\Luke\Desktop\SellerOne 2.0\plans\active\sellerone-endgame-command-center-2026-05-26\goal_files\GOAL_F-002_decide_scanner_source_authority.md</x:v>
      </x:c>
    </x:row>
    <x:row r="5">
      <x:c r="A5" s="14" t="str">
        <x:v>F-009</x:v>
      </x:c>
      <x:c r="B5" s="14" t="str">
        <x:v>Plan Seller Central SMS 2FA path for scanner login recovery</x:v>
      </x:c>
      <x:c r="C5" s="14" t="str">
        <x:v>C:\Users\Luke\Desktop\SellerOne 2.0\plans\active\sellerone-endgame-command-center-2026-05-26\goal_files\GOAL_F-009_plan_seller_central_sms_2fa_path.md</x:v>
      </x:c>
    </x:row>
    <x:row r="6">
      <x:c r="A6" s="14" t="str">
        <x:v>G-001</x:v>
      </x:c>
      <x:c r="B6" s="14" t="str">
        <x:v>Classify overdue due checks</x:v>
      </x:c>
      <x:c r="C6" s="14" t="str">
        <x:v>C:\Users\Luke\Desktop\SellerOne 2.0\plans\active\sellerone-endgame-command-center-2026-05-26\goal_files\GOAL_G-001_classify_due_checks.md</x:v>
      </x:c>
    </x:row>
    <x:row r="7">
      <x:c r="A7" s="14" t="str">
        <x:v>G-002</x:v>
      </x:c>
      <x:c r="B7" s="14" t="str">
        <x:v>Investigate storage housekeeping FAIL</x:v>
      </x:c>
      <x:c r="C7" s="14" t="str">
        <x:v>C:\Users\Luke\Desktop\SellerOne 2.0\plans\active\sellerone-endgame-command-center-2026-05-26\goal_files\GOAL_G-002_investigate_storage_housekeeping_fail.md</x:v>
      </x:c>
    </x:row>
    <x:row r="8">
      <x:c r="A8" s="14" t="str">
        <x:v>H-001</x:v>
      </x:c>
      <x:c r="B8" s="14" t="str">
        <x:v>Classify H failures</x:v>
      </x:c>
      <x:c r="C8" s="14" t="str">
        <x:v>C:\Users\Luke\Desktop\SellerOne 2.0\plans\active\sellerone-endgame-command-center-2026-05-26\goal_files\GOAL_H-001_classify_h_failures.md</x:v>
      </x:c>
    </x:row>
    <x:row r="9">
      <x:c r="A9" s="14" t="str">
        <x:v>H-002</x:v>
      </x:c>
      <x:c r="B9" s="14" t="str">
        <x:v>Restore fresh H terminal and publish evidence</x:v>
      </x:c>
      <x:c r="C9" s="14" t="str">
        <x:v>C:\Users\Luke\Desktop\SellerOne 2.0\plans\active\sellerone-endgame-command-center-2026-05-26\goal_files\GOAL_H-002_restore_h_fresh_evidence_plan.md</x:v>
      </x:c>
    </x:row>
    <x:row r="10">
      <x:c r="A10" s="14" t="str">
        <x:v>H-003</x:v>
      </x:c>
      <x:c r="B10" s="14" t="str">
        <x:v>Choose safe H pause path for O market scan</x:v>
      </x:c>
      <x:c r="C10" s="14" t="str">
        <x:v>C:\Users\Luke\Desktop\SellerOne 2.0\plans\active\sellerone-endgame-command-center-2026-05-26\goal_files\GOAL_H-003_choose_h_pause_path.md</x:v>
      </x:c>
    </x:row>
    <x:row r="11">
      <x:c r="A11" s="14" t="str">
        <x:v>O-001</x:v>
      </x:c>
      <x:c r="B11" s="14" t="str">
        <x:v>Compare April O plan against May O work</x:v>
      </x:c>
      <x:c r="C11" s="14" t="str">
        <x:v>C:\Users\Luke\Desktop\SellerOne 2.0\plans\active\sellerone-endgame-command-center-2026-05-26\goal_files\GOAL_O-001_compare_o_plans.md</x:v>
      </x:c>
    </x:row>
    <x:row r="12">
      <x:c r="A12" s="14" t="str">
        <x:v>O-002</x:v>
      </x:c>
      <x:c r="B12" s="14" t="str">
        <x:v>Confirm whether current PO rows are real or sample</x:v>
      </x:c>
      <x:c r="C12" s="14" t="str">
        <x:v>C:\Users\Luke\Desktop\SellerOne 2.0\plans\active\sellerone-endgame-command-center-2026-05-26\goal_files\GOAL_O-002_confirm_po_outputs.md</x:v>
      </x:c>
    </x:row>
    <x:row r="13">
      <x:c r="A13" t="str">
        <x:v>O-003</x:v>
      </x:c>
      <x:c r="B13" t="str">
        <x:v>Clear 59-row market refresh blocker</x:v>
      </x:c>
      <x:c r="C13" t="str">
        <x:v>C:\Users\Luke\Desktop\SellerOne 2.0\plans\active\sellerone-endgame-command-center-2026-05-26\goal_files\GOAL_O-003_clear_market_refresh_blocker.md</x:v>
      </x:c>
    </x:row>
  </x:sheetData>
  <x:pageMargins left="0.7" right="0.7" top="0.75" bottom="0.75" header="0.3" footer="0.3"/>
  <x:tableParts count="1">
    <x:tablePart xmlns:r="http://schemas.openxmlformats.org/officeDocument/2006/relationships" r:id="R5fabd9d6f04e439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35" hidden="0" customWidth="1"/>
    <x:col min="3" max="3" width="45" hidden="0" customWidth="1"/>
    <x:col min="4" max="4" width="35" hidden="0" customWidth="1"/>
  </x:cols>
  <x:sheetData>
    <x:row r="1">
      <x:c r="A1" s="9" t="str">
        <x:v>Step</x:v>
      </x:c>
      <x:c r="B1" s="9" t="str">
        <x:v>What Luke does</x:v>
      </x:c>
      <x:c r="C1" s="9" t="str">
        <x:v>What Codex or Goal Pursue does</x:v>
      </x:c>
      <x:c r="D1" s="9" t="str">
        <x:v>Where it gets written</x:v>
      </x:c>
    </x:row>
    <x:row r="2">
      <x:c r="A2" s="14" t="str">
        <x:v>1</x:v>
      </x:c>
      <x:c r="B2" s="14" t="str">
        <x:v>Pick the top Now task.</x:v>
      </x:c>
      <x:c r="C2" s="14" t="str">
        <x:v>Open the MD file in Goal MD reference.</x:v>
      </x:c>
      <x:c r="D2" s="14" t="str">
        <x:v>Task Board</x:v>
      </x:c>
    </x:row>
    <x:row r="3">
      <x:c r="A3" s="14" t="str">
        <x:v>2</x:v>
      </x:c>
      <x:c r="B3" s="14" t="str">
        <x:v>Send that MD file reference to the goal bot.</x:v>
      </x:c>
      <x:c r="C3" s="14" t="str">
        <x:v>Work only from that goal file.</x:v>
      </x:c>
      <x:c r="D3" s="14" t="str">
        <x:v>Goal Files tab</x:v>
      </x:c>
    </x:row>
    <x:row r="4">
      <x:c r="A4" s="14" t="str">
        <x:v>3</x:v>
      </x:c>
      <x:c r="B4" s="14" t="str">
        <x:v>Wait for the goal bot to finish.</x:v>
      </x:c>
      <x:c r="C4" s="14" t="str">
        <x:v>Write the reply into the goal MD file.</x:v>
      </x:c>
      <x:c r="D4" s="14" t="str">
        <x:v>Goal Reply section</x:v>
      </x:c>
    </x:row>
    <x:row r="5">
      <x:c r="A5" s="14" t="str">
        <x:v>4</x:v>
      </x:c>
      <x:c r="B5" s="14" t="str">
        <x:v>If proof needs tomorrow or next cycle, do not trust chat memory.</x:v>
      </x:c>
      <x:c r="C5" s="14" t="str">
        <x:v>Add or update a row in Result Checks.</x:v>
      </x:c>
      <x:c r="D5" s="14" t="str">
        <x:v>Result Checks tab and result register</x:v>
      </x:c>
    </x:row>
    <x:row r="6">
      <x:c r="A6" s="14" t="str">
        <x:v>5</x:v>
      </x:c>
      <x:c r="B6" s="14" t="str">
        <x:v>Mark Done? only after proof exists.</x:v>
      </x:c>
      <x:c r="C6" s="14" t="str">
        <x:v>Update status and proof notes.</x:v>
      </x:c>
      <x:c r="D6" s="14" t="str">
        <x:v>Task Board</x:v>
      </x:c>
    </x:row>
  </x:sheetData>
  <x:pageMargins left="0.7" right="0.7" top="0.75" bottom="0.75" header="0.3" footer="0.3"/>
</x:worksheet>
</file>